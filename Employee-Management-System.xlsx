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showInkAnnotation="0" defaultThemeVersion="202300"/>
  <xr:revisionPtr revIDLastSave="0" documentId="8_{52A7EEAD-CD74-D449-85D2-F93BCF59EA7F}" xr6:coauthVersionLast="47" xr6:coauthVersionMax="47" xr10:uidLastSave="{00000000-0000-0000-0000-000000000000}"/>
  <bookViews>
    <workbookView xWindow="0" yWindow="0" windowWidth="0" windowHeight="0" activeTab="3" xr2:uid="{00000000-000D-0000-FFFF-FFFF00000000}"/>
  </bookViews>
  <sheets>
    <sheet name="ورقة1" sheetId="1" r:id="rId1"/>
    <sheet name="ورقة2" sheetId="2" r:id="rId2"/>
    <sheet name="ورقة3" sheetId="3" r:id="rId3"/>
    <sheet name="ورقة6" sheetId="6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3" l="1"/>
  <c r="C2" i="3"/>
  <c r="B2" i="3"/>
  <c r="B8" i="2"/>
  <c r="B9" i="2"/>
  <c r="B7" i="2"/>
  <c r="B6" i="2"/>
  <c r="C2" i="2"/>
  <c r="B2" i="2"/>
  <c r="A2" i="2"/>
</calcChain>
</file>

<file path=xl/sharedStrings.xml><?xml version="1.0" encoding="utf-8"?>
<sst xmlns="http://schemas.openxmlformats.org/spreadsheetml/2006/main" count="44" uniqueCount="42">
  <si>
    <t>أسم الموظف</t>
  </si>
  <si>
    <t>الوظيفه</t>
  </si>
  <si>
    <t>الراتب</t>
  </si>
  <si>
    <t>الرقم الوظيفي</t>
  </si>
  <si>
    <t xml:space="preserve">علي </t>
  </si>
  <si>
    <t>احمد</t>
  </si>
  <si>
    <t>ابراهيم</t>
  </si>
  <si>
    <t>اسماء</t>
  </si>
  <si>
    <t>هدى</t>
  </si>
  <si>
    <t>IT</t>
  </si>
  <si>
    <t>CS</t>
  </si>
  <si>
    <t>HR</t>
  </si>
  <si>
    <t>SALSE</t>
  </si>
  <si>
    <t>علياء</t>
  </si>
  <si>
    <t>عدد الموظفين</t>
  </si>
  <si>
    <t>مجموع الرواتب</t>
  </si>
  <si>
    <t xml:space="preserve">متوسط الرواتب </t>
  </si>
  <si>
    <t>القسم</t>
  </si>
  <si>
    <t xml:space="preserve">عدد الموظفين </t>
  </si>
  <si>
    <t>اسم الموظف</t>
  </si>
  <si>
    <t>EMPLOYEE MANAGEMENT SYSTEM</t>
  </si>
  <si>
    <t>Project Description</t>
  </si>
  <si>
    <t>Employee management system using Excel</t>
  </si>
  <si>
    <t>Features</t>
  </si>
  <si>
    <t>Employee Data Management</t>
  </si>
  <si>
    <t>Automatic Salary Calculations</t>
  </si>
  <si>
    <t>Employee Search Using XLOOKUP</t>
  </si>
  <si>
    <t>Department Reports and Charts</t>
  </si>
  <si>
    <t>Project Owner</t>
  </si>
  <si>
    <t>Muhammad Abdullah</t>
  </si>
  <si>
    <t>Tools Used</t>
  </si>
  <si>
    <t>Microsoft Excel</t>
  </si>
  <si>
    <t>Functions Used</t>
  </si>
  <si>
    <t>XLOOKUP, COUNTIF, SUM, AVERAGE, IFERROR</t>
  </si>
  <si>
    <t>PROJECT: Employee Management System
DESCRIPTION:
An employee management system built using Microsoft Excel.
FEATURES:
- Employee data management
- Automatic salary calculations
- Employee search using XLOOKUP
- Department reports and charts
- Automatic statistics and summaries
TOOLS:
Microsoft Excel
SKILLS:
Excel Formulas, Data Management, Reporting, Data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</si>
</sst>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b/>
      <sz val="16"/>
      <color theme="1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4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 applyAlignment="1">
      <alignment wrapText="1"/>
    </xf>
  </cellXfs>
  <cellStyles count="1">
    <cellStyle name="عادي" xfId="0" builtinId="0"/>
  </cellStyles>
  <dxfs count="1">
    <dxf>
      <alignment horizontal="righ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ورقة2!$B$5</c:f>
              <c:strCache>
                <c:ptCount val="1"/>
                <c:pt idx="0">
                  <c:v>عدد الموظفين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ورقة2!$A$6:$A$9</c:f>
              <c:strCache>
                <c:ptCount val="4"/>
                <c:pt idx="0">
                  <c:v>IT</c:v>
                </c:pt>
                <c:pt idx="1">
                  <c:v>CS</c:v>
                </c:pt>
                <c:pt idx="2">
                  <c:v>HR</c:v>
                </c:pt>
                <c:pt idx="3">
                  <c:v>SALSE</c:v>
                </c:pt>
              </c:strCache>
            </c:strRef>
          </c:cat>
          <c:val>
            <c:numRef>
              <c:f>ورقة2!$B$6:$B$9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3F-BE43-9D10-8117CF046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7663952"/>
        <c:axId val="1067662608"/>
      </c:barChart>
      <c:catAx>
        <c:axId val="10676639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067662608"/>
        <c:crosses val="autoZero"/>
        <c:auto val="1"/>
        <c:lblAlgn val="ctr"/>
        <c:lblOffset val="100"/>
        <c:noMultiLvlLbl val="0"/>
      </c:catAx>
      <c:valAx>
        <c:axId val="106766260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067663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140137</xdr:rowOff>
    </xdr:from>
    <xdr:to>
      <xdr:col>5</xdr:col>
      <xdr:colOff>258088</xdr:colOff>
      <xdr:row>41</xdr:row>
      <xdr:rowOff>90212</xdr:rowOff>
    </xdr:to>
    <xdr:graphicFrame macro="">
      <xdr:nvGraphicFramePr>
        <xdr:cNvPr id="5" name="مخطط 4">
          <a:extLst>
            <a:ext uri="{FF2B5EF4-FFF2-40B4-BE49-F238E27FC236}">
              <a16:creationId xmlns:a16="http://schemas.microsoft.com/office/drawing/2014/main" id="{D49AD44C-4579-C2FB-6DEC-39C24B3195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312E4FE-C454-A84B-A34A-FD3107A459D3}" name="الجدول3" displayName="الجدول3" ref="A1:D8" totalsRowShown="0" headerRowDxfId="0">
  <autoFilter ref="A1:D8" xr:uid="{2312E4FE-C454-A84B-A34A-FD3107A459D3}"/>
  <tableColumns count="4">
    <tableColumn id="1" xr3:uid="{97056440-14DB-9948-8263-8855EEF92BCC}" name="أسم الموظف"/>
    <tableColumn id="2" xr3:uid="{1D2B2604-6F89-2544-95CA-4CC4AC5B4857}" name="الوظيفه"/>
    <tableColumn id="3" xr3:uid="{D29CF21F-DC65-4647-8798-FE87D5410A77}" name="الرقم الوظيفي"/>
    <tableColumn id="4" xr3:uid="{1F7ECA1C-EA8A-6A4C-983D-AF10775ADD66}" name="الرات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6098-0E40-C94A-AA41-CA24B42C7410}">
  <dimension ref="A1:D7"/>
  <sheetViews>
    <sheetView rightToLeft="1" topLeftCell="A2" zoomScaleNormal="60" zoomScaleSheetLayoutView="100" workbookViewId="0">
      <selection activeCell="A3" sqref="A3"/>
    </sheetView>
  </sheetViews>
  <sheetFormatPr defaultRowHeight="13.5" x14ac:dyDescent="0.15"/>
  <cols>
    <col min="1" max="1" width="10.6640625" bestFit="1" customWidth="1"/>
    <col min="3" max="3" width="11.27734375" bestFit="1" customWidth="1"/>
  </cols>
  <sheetData>
    <row r="1" spans="1:4" x14ac:dyDescent="0.15">
      <c r="A1" s="3" t="s">
        <v>0</v>
      </c>
      <c r="B1" s="3" t="s">
        <v>1</v>
      </c>
      <c r="C1" s="3" t="s">
        <v>3</v>
      </c>
      <c r="D1" s="3" t="s">
        <v>2</v>
      </c>
    </row>
    <row r="2" spans="1:4" x14ac:dyDescent="0.15">
      <c r="A2" t="s">
        <v>4</v>
      </c>
      <c r="B2" t="s">
        <v>9</v>
      </c>
      <c r="C2">
        <v>2561</v>
      </c>
      <c r="D2">
        <v>4000</v>
      </c>
    </row>
    <row r="3" spans="1:4" x14ac:dyDescent="0.15">
      <c r="A3" t="s">
        <v>5</v>
      </c>
      <c r="B3" t="s">
        <v>10</v>
      </c>
      <c r="C3">
        <v>2562</v>
      </c>
      <c r="D3">
        <v>5000</v>
      </c>
    </row>
    <row r="4" spans="1:4" x14ac:dyDescent="0.15">
      <c r="A4" t="s">
        <v>6</v>
      </c>
      <c r="B4" t="s">
        <v>11</v>
      </c>
      <c r="C4">
        <v>2563</v>
      </c>
      <c r="D4">
        <v>6000</v>
      </c>
    </row>
    <row r="5" spans="1:4" x14ac:dyDescent="0.15">
      <c r="A5" t="s">
        <v>7</v>
      </c>
      <c r="B5" t="s">
        <v>12</v>
      </c>
      <c r="C5">
        <v>2564</v>
      </c>
      <c r="D5">
        <v>3000</v>
      </c>
    </row>
    <row r="6" spans="1:4" x14ac:dyDescent="0.15">
      <c r="A6" t="s">
        <v>8</v>
      </c>
      <c r="B6" t="s">
        <v>11</v>
      </c>
      <c r="C6">
        <v>2565</v>
      </c>
      <c r="D6">
        <v>7000</v>
      </c>
    </row>
    <row r="7" spans="1:4" x14ac:dyDescent="0.15">
      <c r="A7" t="s">
        <v>13</v>
      </c>
      <c r="B7" t="s">
        <v>9</v>
      </c>
      <c r="C7">
        <v>2566</v>
      </c>
      <c r="D7">
        <v>4500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3F0F5-96D1-614B-B001-894C7FD4B2F6}">
  <dimension ref="A1:C9"/>
  <sheetViews>
    <sheetView rightToLeft="1" zoomScaleNormal="60" zoomScaleSheetLayoutView="100" workbookViewId="0">
      <selection activeCell="C20" sqref="C20"/>
    </sheetView>
  </sheetViews>
  <sheetFormatPr defaultRowHeight="13.5" x14ac:dyDescent="0.15"/>
  <cols>
    <col min="2" max="2" width="14.953125" bestFit="1" customWidth="1"/>
    <col min="3" max="3" width="13.97265625" bestFit="1" customWidth="1"/>
  </cols>
  <sheetData>
    <row r="1" spans="1:3" x14ac:dyDescent="0.15">
      <c r="A1" s="1" t="s">
        <v>14</v>
      </c>
      <c r="B1" s="1" t="s">
        <v>15</v>
      </c>
      <c r="C1" s="1" t="s">
        <v>16</v>
      </c>
    </row>
    <row r="2" spans="1:3" x14ac:dyDescent="0.15">
      <c r="A2">
        <f>COUNTA(ورقة1!A2:A7)</f>
        <v>6</v>
      </c>
      <c r="B2" s="2">
        <f>SUM(ورقة1!D2:D7)</f>
        <v>29500</v>
      </c>
      <c r="C2" s="2">
        <f>AVERAGE(ورقة1!D2:D7)</f>
        <v>4916.666666666667</v>
      </c>
    </row>
    <row r="5" spans="1:3" x14ac:dyDescent="0.15">
      <c r="A5" t="s">
        <v>17</v>
      </c>
      <c r="B5" t="s">
        <v>18</v>
      </c>
    </row>
    <row r="6" spans="1:3" x14ac:dyDescent="0.15">
      <c r="A6" t="s">
        <v>9</v>
      </c>
      <c r="B6">
        <f>COUNTIF(ورقة1!B2:B7,A6)</f>
        <v>2</v>
      </c>
    </row>
    <row r="7" spans="1:3" x14ac:dyDescent="0.15">
      <c r="A7" t="s">
        <v>10</v>
      </c>
      <c r="B7">
        <f>COUNTIF(ورقة1!B2:B7,A7)</f>
        <v>1</v>
      </c>
    </row>
    <row r="8" spans="1:3" x14ac:dyDescent="0.15">
      <c r="A8" t="s">
        <v>11</v>
      </c>
      <c r="B8">
        <f>COUNTIF(ورقة1!B2:B7,A8)</f>
        <v>2</v>
      </c>
    </row>
    <row r="9" spans="1:3" x14ac:dyDescent="0.15">
      <c r="A9" t="s">
        <v>12</v>
      </c>
      <c r="B9">
        <f>COUNTIF(ورقة1!B2:B7,A9)</f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3C1A7-04B3-1B4E-88D6-2DEBF1944C04}">
  <dimension ref="A1:D2"/>
  <sheetViews>
    <sheetView rightToLeft="1" zoomScaleNormal="60" zoomScaleSheetLayoutView="100" workbookViewId="0">
      <selection activeCell="B2" sqref="B2:D2"/>
    </sheetView>
  </sheetViews>
  <sheetFormatPr defaultRowHeight="13.5" x14ac:dyDescent="0.15"/>
  <sheetData>
    <row r="1" spans="1:4" x14ac:dyDescent="0.15">
      <c r="A1" t="s">
        <v>3</v>
      </c>
      <c r="B1" t="s">
        <v>19</v>
      </c>
      <c r="C1" t="s">
        <v>1</v>
      </c>
      <c r="D1" t="s">
        <v>2</v>
      </c>
    </row>
    <row r="2" spans="1:4" x14ac:dyDescent="0.15">
      <c r="A2">
        <v>2566</v>
      </c>
      <c r="B2" t="str">
        <f>IFERROR(_xlfn.XLOOKUP(A2,ورقة1!C2:C7,ورقة1!A2:A7),"غير موجود")</f>
        <v>علياء</v>
      </c>
      <c r="C2" t="str">
        <f>IFERROR(_xlfn.XLOOKUP(A2,ورقة1!C2:C7,ورقة1!B2:B7),"غير موجود")</f>
        <v>IT</v>
      </c>
      <c r="D2">
        <f>IFERROR(_xlfn.XLOOKUP(A2,ورقة1!C2:C7,ورقة1!D2:D7),"غير موجود")</f>
        <v>4500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E4013-E90C-6E41-8932-8DACC83C0C1D}">
  <dimension ref="A1:A20"/>
  <sheetViews>
    <sheetView rightToLeft="1" tabSelected="1" topLeftCell="A17" zoomScaleNormal="60" zoomScaleSheetLayoutView="100" workbookViewId="0">
      <selection activeCell="A20" sqref="A20"/>
    </sheetView>
  </sheetViews>
  <sheetFormatPr defaultRowHeight="13.5" x14ac:dyDescent="0.15"/>
  <cols>
    <col min="1" max="1" width="48.421875" bestFit="1" customWidth="1"/>
  </cols>
  <sheetData>
    <row r="1" spans="1:1" ht="20.25" x14ac:dyDescent="0.25">
      <c r="A1" s="4" t="s">
        <v>20</v>
      </c>
    </row>
    <row r="2" spans="1:1" x14ac:dyDescent="0.15">
      <c r="A2" t="s">
        <v>21</v>
      </c>
    </row>
    <row r="3" spans="1:1" x14ac:dyDescent="0.15">
      <c r="A3" t="s">
        <v>22</v>
      </c>
    </row>
    <row r="4" spans="1:1" x14ac:dyDescent="0.15">
      <c r="A4" t="s">
        <v>23</v>
      </c>
    </row>
    <row r="5" spans="1:1" x14ac:dyDescent="0.15">
      <c r="A5" t="s">
        <v>24</v>
      </c>
    </row>
    <row r="6" spans="1:1" x14ac:dyDescent="0.15">
      <c r="A6" t="s">
        <v>25</v>
      </c>
    </row>
    <row r="7" spans="1:1" x14ac:dyDescent="0.15">
      <c r="A7" t="s">
        <v>26</v>
      </c>
    </row>
    <row r="8" spans="1:1" x14ac:dyDescent="0.15">
      <c r="A8" t="s">
        <v>27</v>
      </c>
    </row>
    <row r="12" spans="1:1" x14ac:dyDescent="0.15">
      <c r="A12" t="s">
        <v>28</v>
      </c>
    </row>
    <row r="13" spans="1:1" x14ac:dyDescent="0.15">
      <c r="A13" t="s">
        <v>29</v>
      </c>
    </row>
    <row r="14" spans="1:1" x14ac:dyDescent="0.15">
      <c r="A14" t="s">
        <v>30</v>
      </c>
    </row>
    <row r="15" spans="1:1" x14ac:dyDescent="0.15">
      <c r="A15" t="s">
        <v>31</v>
      </c>
    </row>
    <row r="16" spans="1:1" x14ac:dyDescent="0.15">
      <c r="A16" t="s">
        <v>32</v>
      </c>
    </row>
    <row r="17" spans="1:1" x14ac:dyDescent="0.15">
      <c r="A17" t="s">
        <v>33</v>
      </c>
    </row>
    <row r="20" spans="1:1" ht="240.75" x14ac:dyDescent="0.15">
      <c r="A20" s="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أوراق العمل</vt:lpstr>
      </vt:variant>
      <vt:variant>
        <vt:i4>4</vt:i4>
      </vt:variant>
    </vt:vector>
  </HeadingPairs>
  <TitlesOfParts>
    <vt:vector size="4" baseType="lpstr">
      <vt:lpstr>ورقة1</vt:lpstr>
      <vt:lpstr>ورقة2</vt:lpstr>
      <vt:lpstr>ورقة3</vt:lpstr>
      <vt:lpstr>ورقة6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Abdalla</dc:creator>
  <dcterms:created xsi:type="dcterms:W3CDTF">2026-10-13T13:19:12Z</dcterms:created>
</cp:coreProperties>
</file>